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pments" sheetId="1" state="visible" r:id="rId3"/>
    <sheet name="Field_Reference" sheetId="2" state="visible" r:id="rId4"/>
    <sheet name="Legend" sheetId="3" state="visible" r:id="rId5"/>
    <sheet name="Country_Reference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<sst xmlns="http://schemas.openxmlformats.org/spreadsheetml/2006/main" count="752" uniqueCount="336">
  <si>
    <t xml:space="preserve">Shipment</t>
  </si>
  <si>
    <t xml:space="preserve">Loading_Date</t>
  </si>
  <si>
    <t xml:space="preserve">Mode</t>
  </si>
  <si>
    <t xml:space="preserve">Destination_Country</t>
  </si>
  <si>
    <t xml:space="preserve">End_Market</t>
  </si>
  <si>
    <t xml:space="preserve">Freight_Forwarder</t>
  </si>
  <si>
    <t xml:space="preserve">Sales_Order</t>
  </si>
  <si>
    <t xml:space="preserve">STO</t>
  </si>
  <si>
    <t xml:space="preserve">GBA1_JP21</t>
  </si>
  <si>
    <t xml:space="preserve">US41_Shorefair_GBA1</t>
  </si>
  <si>
    <t xml:space="preserve">Delivery</t>
  </si>
  <si>
    <t xml:space="preserve">2nd_Delivery</t>
  </si>
  <si>
    <t xml:space="preserve">SKU</t>
  </si>
  <si>
    <t xml:space="preserve">Description</t>
  </si>
  <si>
    <t xml:space="preserve">Cases</t>
  </si>
  <si>
    <t xml:space="preserve">Sticks</t>
  </si>
  <si>
    <t xml:space="preserve">Pallets</t>
  </si>
  <si>
    <t xml:space="preserve">Pallets_Per_Case</t>
  </si>
  <si>
    <t xml:space="preserve">Pallet_Dimensions</t>
  </si>
  <si>
    <t xml:space="preserve">Gross_Kilos</t>
  </si>
  <si>
    <t xml:space="preserve">Net_Kilos</t>
  </si>
  <si>
    <t xml:space="preserve">Value</t>
  </si>
  <si>
    <t xml:space="preserve">HS_Code</t>
  </si>
  <si>
    <t xml:space="preserve">Date_Code</t>
  </si>
  <si>
    <t xml:space="preserve">Price</t>
  </si>
  <si>
    <t xml:space="preserve">Price_Per_Unit</t>
  </si>
  <si>
    <t xml:space="preserve">Cost_Per_Case</t>
  </si>
  <si>
    <t xml:space="preserve">CIF_Los_Angeles</t>
  </si>
  <si>
    <t xml:space="preserve">Incoterm</t>
  </si>
  <si>
    <t xml:space="preserve">AWB</t>
  </si>
  <si>
    <t xml:space="preserve">AWB_Booking</t>
  </si>
  <si>
    <t xml:space="preserve">Airline</t>
  </si>
  <si>
    <t xml:space="preserve">Departure_Airport</t>
  </si>
  <si>
    <t xml:space="preserve">Container_No</t>
  </si>
  <si>
    <t xml:space="preserve">Seal_No</t>
  </si>
  <si>
    <t xml:space="preserve">Booking_No</t>
  </si>
  <si>
    <t xml:space="preserve">BOL_No</t>
  </si>
  <si>
    <t xml:space="preserve">Data_Logger_Serial</t>
  </si>
  <si>
    <t xml:space="preserve">ETD</t>
  </si>
  <si>
    <t xml:space="preserve">ETS</t>
  </si>
  <si>
    <t xml:space="preserve">ETA</t>
  </si>
  <si>
    <t xml:space="preserve">ETA_Tokyo</t>
  </si>
  <si>
    <t xml:space="preserve">Lead_Time_Days</t>
  </si>
  <si>
    <t xml:space="preserve">Arrived_Memphis</t>
  </si>
  <si>
    <t xml:space="preserve">Arrived_LA_Port</t>
  </si>
  <si>
    <t xml:space="preserve">COB_Rail</t>
  </si>
  <si>
    <t xml:space="preserve">COB_Sail</t>
  </si>
  <si>
    <t xml:space="preserve">Vessel</t>
  </si>
  <si>
    <t xml:space="preserve">Shipping_Line</t>
  </si>
  <si>
    <t xml:space="preserve">Original_Vessel</t>
  </si>
  <si>
    <t xml:space="preserve">Final_Vessel</t>
  </si>
  <si>
    <t xml:space="preserve">Transhipments</t>
  </si>
  <si>
    <t xml:space="preserve">Date_CI_PL_Drafted</t>
  </si>
  <si>
    <t xml:space="preserve">Date_CI_PL_Printed</t>
  </si>
  <si>
    <t xml:space="preserve">Date_TTB_Drafted</t>
  </si>
  <si>
    <t xml:space="preserve">Date_TTB_Printed</t>
  </si>
  <si>
    <t xml:space="preserve">Dated_TTB_Received_Signed</t>
  </si>
  <si>
    <t xml:space="preserve">Date_Final_Docs_Sent</t>
  </si>
  <si>
    <t xml:space="preserve">Date_Docs_Have_To_Be_Sent</t>
  </si>
  <si>
    <t xml:space="preserve">Docs_Sent_To_Tax</t>
  </si>
  <si>
    <t xml:space="preserve">Final_Docs_Complete</t>
  </si>
  <si>
    <t xml:space="preserve">Final_Docs_To_EM</t>
  </si>
  <si>
    <t xml:space="preserve">TTB_Complete</t>
  </si>
  <si>
    <t xml:space="preserve">Tax_Status</t>
  </si>
  <si>
    <t xml:space="preserve">Estimated_SWB_Available</t>
  </si>
  <si>
    <t xml:space="preserve">Accounting_Doc</t>
  </si>
  <si>
    <t xml:space="preserve">Port_Of_Departure</t>
  </si>
  <si>
    <t xml:space="preserve">Port_Of_Delivery</t>
  </si>
  <si>
    <t xml:space="preserve">Final_Place_Of_Delivery</t>
  </si>
  <si>
    <t xml:space="preserve">CNEE_Address</t>
  </si>
  <si>
    <t xml:space="preserve">Tape_Color</t>
  </si>
  <si>
    <t xml:space="preserve">Container_Checklist_Recorded</t>
  </si>
  <si>
    <t xml:space="preserve">STO_Date_Updated</t>
  </si>
  <si>
    <t xml:space="preserve">Cases_Stolen</t>
  </si>
  <si>
    <t xml:space="preserve">Sticks_Stolen</t>
  </si>
  <si>
    <t xml:space="preserve">Difference_Remaining</t>
  </si>
  <si>
    <t xml:space="preserve">Percent_Pilfered</t>
  </si>
  <si>
    <t xml:space="preserve">Seals_Broken</t>
  </si>
  <si>
    <t xml:space="preserve">Value_Of_Stolen_Items</t>
  </si>
  <si>
    <t xml:space="preserve">Notes</t>
  </si>
  <si>
    <t xml:space="preserve">Field Name</t>
  </si>
  <si>
    <t xml:space="preserve">Required</t>
  </si>
  <si>
    <t xml:space="preserve">Data Type</t>
  </si>
  <si>
    <t xml:space="preserve">Applies To</t>
  </si>
  <si>
    <t xml:space="preserve">Category</t>
  </si>
  <si>
    <t xml:space="preserve">Example</t>
  </si>
  <si>
    <t xml:space="preserve">Yes</t>
  </si>
  <si>
    <t xml:space="preserve">Text</t>
  </si>
  <si>
    <t xml:space="preserve">All</t>
  </si>
  <si>
    <t xml:space="preserve">Identifiers</t>
  </si>
  <si>
    <t xml:space="preserve">Unique shipment identifier number</t>
  </si>
  <si>
    <t xml:space="preserve">5862926</t>
  </si>
  <si>
    <t xml:space="preserve">Date</t>
  </si>
  <si>
    <t xml:space="preserve">Date shipment was loaded at origin</t>
  </si>
  <si>
    <t xml:space="preserve">2025-04-17</t>
  </si>
  <si>
    <t xml:space="preserve">Transport mode: Air or Sea</t>
  </si>
  <si>
    <t xml:space="preserve">Air</t>
  </si>
  <si>
    <t xml:space="preserve">Target market/destination country</t>
  </si>
  <si>
    <t xml:space="preserve">Japan</t>
  </si>
  <si>
    <t xml:space="preserve">No</t>
  </si>
  <si>
    <t xml:space="preserve">End market designation</t>
  </si>
  <si>
    <t xml:space="preserve">Logistics partner (SOS, Bennett, DHL, etc.)</t>
  </si>
  <si>
    <t xml:space="preserve">Bennett</t>
  </si>
  <si>
    <t xml:space="preserve">Order References</t>
  </si>
  <si>
    <t xml:space="preserve">SAP Sales Order number</t>
  </si>
  <si>
    <t xml:space="preserve">5329531513</t>
  </si>
  <si>
    <t xml:space="preserve">Stock Transport Order (US47-XXX format)</t>
  </si>
  <si>
    <t xml:space="preserve">4301017845</t>
  </si>
  <si>
    <t xml:space="preserve">Japan/Taiwan</t>
  </si>
  <si>
    <t xml:space="preserve">Japan/Taiwan internal transfer order</t>
  </si>
  <si>
    <t xml:space="preserve">4300984608</t>
  </si>
  <si>
    <t xml:space="preserve">US41 Shorefair to GBA1 transfer</t>
  </si>
  <si>
    <t xml:space="preserve">4301053127</t>
  </si>
  <si>
    <t xml:space="preserve">SAP Delivery document number</t>
  </si>
  <si>
    <t xml:space="preserve">9192468439</t>
  </si>
  <si>
    <t xml:space="preserve">Mauritius</t>
  </si>
  <si>
    <t xml:space="preserve">Secondary delivery for split shipments (Mauritius)</t>
  </si>
  <si>
    <t xml:space="preserve">9190538130</t>
  </si>
  <si>
    <t xml:space="preserve">Product</t>
  </si>
  <si>
    <t xml:space="preserve">Product SKU code (8 digits)</t>
  </si>
  <si>
    <t xml:space="preserve">10208825</t>
  </si>
  <si>
    <t xml:space="preserve">Product description</t>
  </si>
  <si>
    <t xml:space="preserve">KENT WHITE 20/200 QRE RB JAP</t>
  </si>
  <si>
    <t xml:space="preserve">Integer</t>
  </si>
  <si>
    <t xml:space="preserve">Quantity</t>
  </si>
  <si>
    <t xml:space="preserve">Number of cases shipped</t>
  </si>
  <si>
    <t xml:space="preserve">920</t>
  </si>
  <si>
    <t xml:space="preserve">Total sticks quantity</t>
  </si>
  <si>
    <t xml:space="preserve">9200000</t>
  </si>
  <si>
    <t xml:space="preserve">Number of pallets</t>
  </si>
  <si>
    <t xml:space="preserve">28</t>
  </si>
  <si>
    <t xml:space="preserve">Cases per pallet configuration</t>
  </si>
  <si>
    <t xml:space="preserve">16cs/pal</t>
  </si>
  <si>
    <t xml:space="preserve">Standard pallet dimensions</t>
  </si>
  <si>
    <t xml:space="preserve">40x48x54 inches</t>
  </si>
  <si>
    <t xml:space="preserve">Decimal</t>
  </si>
  <si>
    <t xml:space="preserve">Weight</t>
  </si>
  <si>
    <t xml:space="preserve">Gross weight in kilograms</t>
  </si>
  <si>
    <t xml:space="preserve">14958.768</t>
  </si>
  <si>
    <t xml:space="preserve">Net weight in kilograms</t>
  </si>
  <si>
    <t xml:space="preserve">9860.664</t>
  </si>
  <si>
    <t xml:space="preserve">Value &amp; Customs</t>
  </si>
  <si>
    <t xml:space="preserve">Declared shipment value</t>
  </si>
  <si>
    <t xml:space="preserve">30000</t>
  </si>
  <si>
    <t xml:space="preserve">Harmonized System customs code</t>
  </si>
  <si>
    <t xml:space="preserve">2402.20.0000</t>
  </si>
  <si>
    <t xml:space="preserve">Internal production date code</t>
  </si>
  <si>
    <t xml:space="preserve">J4, K5, H5</t>
  </si>
  <si>
    <t xml:space="preserve">Total price for shipment</t>
  </si>
  <si>
    <t xml:space="preserve">53150</t>
  </si>
  <si>
    <t xml:space="preserve">Price per unit/case</t>
  </si>
  <si>
    <t xml:space="preserve">106.3</t>
  </si>
  <si>
    <t xml:space="preserve">Cost per case</t>
  </si>
  <si>
    <t xml:space="preserve">78.48</t>
  </si>
  <si>
    <t xml:space="preserve">Taiwan</t>
  </si>
  <si>
    <t xml:space="preserve">CIF value at Los Angeles</t>
  </si>
  <si>
    <t xml:space="preserve">International commercial terms</t>
  </si>
  <si>
    <t xml:space="preserve">DAP, FOB-LA</t>
  </si>
  <si>
    <t xml:space="preserve">Air Freight</t>
  </si>
  <si>
    <t xml:space="preserve">Air Waybill number</t>
  </si>
  <si>
    <t xml:space="preserve">817-09583195</t>
  </si>
  <si>
    <t xml:space="preserve">Air freight booking reference</t>
  </si>
  <si>
    <t xml:space="preserve">729-40700310</t>
  </si>
  <si>
    <t xml:space="preserve">Air carrier name</t>
  </si>
  <si>
    <t xml:space="preserve">Emirates, Amerijet</t>
  </si>
  <si>
    <t xml:space="preserve">Origin airport</t>
  </si>
  <si>
    <t xml:space="preserve">Chicago Int.</t>
  </si>
  <si>
    <t xml:space="preserve">Sea</t>
  </si>
  <si>
    <t xml:space="preserve">Sea Freight</t>
  </si>
  <si>
    <t xml:space="preserve">Shipping container ID</t>
  </si>
  <si>
    <t xml:space="preserve">HAMU185514</t>
  </si>
  <si>
    <t xml:space="preserve">Container/shipment seal number</t>
  </si>
  <si>
    <t xml:space="preserve">*035067</t>
  </si>
  <si>
    <t xml:space="preserve">Sea freight booking reference</t>
  </si>
  <si>
    <t xml:space="preserve">RICEND301900</t>
  </si>
  <si>
    <t xml:space="preserve">Bill of Lading number</t>
  </si>
  <si>
    <t xml:space="preserve">Temperature logger serial number</t>
  </si>
  <si>
    <t xml:space="preserve">AOC1053180TT</t>
  </si>
  <si>
    <t xml:space="preserve">Schedule</t>
  </si>
  <si>
    <t xml:space="preserve">Estimated Time of Departure</t>
  </si>
  <si>
    <t xml:space="preserve">2025-04-20</t>
  </si>
  <si>
    <t xml:space="preserve">Estimated Time of Shipment</t>
  </si>
  <si>
    <t xml:space="preserve">Estimated Time of Arrival (general)</t>
  </si>
  <si>
    <t xml:space="preserve">2025-05-15</t>
  </si>
  <si>
    <t xml:space="preserve">ETA Tokyo (date or Julian date)</t>
  </si>
  <si>
    <t xml:space="preserve">45583</t>
  </si>
  <si>
    <t xml:space="preserve">Lead time calculation (35/47/60 days)</t>
  </si>
  <si>
    <t xml:space="preserve">47</t>
  </si>
  <si>
    <t xml:space="preserve">Date arrived at Memphis rail hub</t>
  </si>
  <si>
    <t xml:space="preserve">2025-07-23</t>
  </si>
  <si>
    <t xml:space="preserve">Date arrived at LA Port</t>
  </si>
  <si>
    <t xml:space="preserve">2025-08-01</t>
  </si>
  <si>
    <t xml:space="preserve">Cut-off date for rail connection</t>
  </si>
  <si>
    <t xml:space="preserve">2025-07-20</t>
  </si>
  <si>
    <t xml:space="preserve">Cut-off date to sail to Japan</t>
  </si>
  <si>
    <t xml:space="preserve">2025-09-19</t>
  </si>
  <si>
    <t xml:space="preserve">Carrier</t>
  </si>
  <si>
    <t xml:space="preserve">Ship name/voyage</t>
  </si>
  <si>
    <t xml:space="preserve">ONE OWL 031W</t>
  </si>
  <si>
    <t xml:space="preserve">Steamship line</t>
  </si>
  <si>
    <t xml:space="preserve">ONE, HAPAG LLOYD, MSC</t>
  </si>
  <si>
    <t xml:space="preserve">Original vessel if changed</t>
  </si>
  <si>
    <t xml:space="preserve">Final vessel after changes</t>
  </si>
  <si>
    <t xml:space="preserve">Transhipment locations</t>
  </si>
  <si>
    <t xml:space="preserve">Documentation</t>
  </si>
  <si>
    <t xml:space="preserve">Date CI/PL drafted</t>
  </si>
  <si>
    <t xml:space="preserve">2025-10-14</t>
  </si>
  <si>
    <t xml:space="preserve">Date CI/PL printed</t>
  </si>
  <si>
    <t xml:space="preserve">Date TTB drafted</t>
  </si>
  <si>
    <t xml:space="preserve">2025-08-26</t>
  </si>
  <si>
    <t xml:space="preserve">Date TTB printed</t>
  </si>
  <si>
    <t xml:space="preserve">Date signed TTB received</t>
  </si>
  <si>
    <t xml:space="preserve">2025-10-16</t>
  </si>
  <si>
    <t xml:space="preserve">Date final docs sent</t>
  </si>
  <si>
    <t xml:space="preserve">Deadline for sending docs</t>
  </si>
  <si>
    <t xml:space="preserve">2025-08-15</t>
  </si>
  <si>
    <t xml:space="preserve">Date/status docs sent to tax</t>
  </si>
  <si>
    <t xml:space="preserve">Y</t>
  </si>
  <si>
    <t xml:space="preserve">Final docs completion status</t>
  </si>
  <si>
    <t xml:space="preserve">Date final docs sent to End Market</t>
  </si>
  <si>
    <t xml:space="preserve">2025-09-01</t>
  </si>
  <si>
    <t xml:space="preserve">TTB sign/return status</t>
  </si>
  <si>
    <t xml:space="preserve">Tax articles status</t>
  </si>
  <si>
    <t xml:space="preserve">Sent waiting on the EM</t>
  </si>
  <si>
    <t xml:space="preserve">Estimated SWB availability</t>
  </si>
  <si>
    <t xml:space="preserve">received 9/2</t>
  </si>
  <si>
    <t xml:space="preserve">SAP accounting document number</t>
  </si>
  <si>
    <t xml:space="preserve">1252281744</t>
  </si>
  <si>
    <t xml:space="preserve">Location</t>
  </si>
  <si>
    <t xml:space="preserve">Origin port (East Coast/West Coast)</t>
  </si>
  <si>
    <t xml:space="preserve">Charleston, SC</t>
  </si>
  <si>
    <t xml:space="preserve">Destination port</t>
  </si>
  <si>
    <t xml:space="preserve">PUERTO CORTES</t>
  </si>
  <si>
    <t xml:space="preserve">Final delivery location</t>
  </si>
  <si>
    <t xml:space="preserve">SAN PEDRO SULA</t>
  </si>
  <si>
    <t xml:space="preserve">Consignee address</t>
  </si>
  <si>
    <t xml:space="preserve">Japan Specific</t>
  </si>
  <si>
    <t xml:space="preserve">Tape color for identification (Japan)</t>
  </si>
  <si>
    <t xml:space="preserve">Black, Red, Green</t>
  </si>
  <si>
    <t xml:space="preserve">Container checklist status</t>
  </si>
  <si>
    <t xml:space="preserve">STO date update status</t>
  </si>
  <si>
    <t xml:space="preserve">Updated</t>
  </si>
  <si>
    <t xml:space="preserve">Theft</t>
  </si>
  <si>
    <t xml:space="preserve">Theft Tracking</t>
  </si>
  <si>
    <t xml:space="preserve">Number of cases stolen</t>
  </si>
  <si>
    <t xml:space="preserve">40</t>
  </si>
  <si>
    <t xml:space="preserve">Number of sticks stolen</t>
  </si>
  <si>
    <t xml:space="preserve">400000</t>
  </si>
  <si>
    <t xml:space="preserve">Cases remaining after theft</t>
  </si>
  <si>
    <t xml:space="preserve">880</t>
  </si>
  <si>
    <t xml:space="preserve">Percentage pilfered</t>
  </si>
  <si>
    <t xml:space="preserve">0.043</t>
  </si>
  <si>
    <t xml:space="preserve">Broken seal numbers</t>
  </si>
  <si>
    <t xml:space="preserve">*035852</t>
  </si>
  <si>
    <t xml:space="preserve">Value of stolen items</t>
  </si>
  <si>
    <t xml:space="preserve">4304.8</t>
  </si>
  <si>
    <t xml:space="preserve">Additional comments</t>
  </si>
  <si>
    <t xml:space="preserve">Color Legend &amp; Field Categories</t>
  </si>
  <si>
    <t xml:space="preserve">Color Coding:</t>
  </si>
  <si>
    <t xml:space="preserve">Required Field</t>
  </si>
  <si>
    <t xml:space="preserve">Fields that must be filled for every shipment</t>
  </si>
  <si>
    <t xml:space="preserve">Japan/Taiwan Specific</t>
  </si>
  <si>
    <t xml:space="preserve">Fields used primarily for Japan or Taiwan shipments</t>
  </si>
  <si>
    <t xml:space="preserve">Taiwan Specific</t>
  </si>
  <si>
    <t xml:space="preserve">Fields used only for Taiwan shipments</t>
  </si>
  <si>
    <t xml:space="preserve">Fields for tracking pilferage/theft incidents</t>
  </si>
  <si>
    <t xml:space="preserve">Standard Field</t>
  </si>
  <si>
    <t xml:space="preserve">Optional fields applicable to all countries</t>
  </si>
  <si>
    <t xml:space="preserve">Tape Colors (Japan):</t>
  </si>
  <si>
    <t xml:space="preserve">Black, Red, Green, Blue, Yellow, White, Orange</t>
  </si>
  <si>
    <t xml:space="preserve">Common Forwarders:</t>
  </si>
  <si>
    <t xml:space="preserve">Bennett, SOS, DHL, Velogic, Amerijet, Unique Logistics</t>
  </si>
  <si>
    <t xml:space="preserve">Common Shipping Lines:</t>
  </si>
  <si>
    <t xml:space="preserve">ONE (Ocean Network Express), HAPAG LLOYD, MSC, CMA-CGM, Maersk, Seaboard Marine</t>
  </si>
  <si>
    <t xml:space="preserve">Country</t>
  </si>
  <si>
    <t xml:space="preserve">Code</t>
  </si>
  <si>
    <t xml:space="preserve">Plant_Codes</t>
  </si>
  <si>
    <t xml:space="preserve">Transfer_Order</t>
  </si>
  <si>
    <t xml:space="preserve">Modes</t>
  </si>
  <si>
    <t xml:space="preserve">Forwarders</t>
  </si>
  <si>
    <t xml:space="preserve">Carriers</t>
  </si>
  <si>
    <t xml:space="preserve">Special_Fields</t>
  </si>
  <si>
    <t xml:space="preserve">Colombia</t>
  </si>
  <si>
    <t xml:space="preserve">COL</t>
  </si>
  <si>
    <t xml:space="preserve">US47-CO02, US47-CO05</t>
  </si>
  <si>
    <t xml:space="preserve">-</t>
  </si>
  <si>
    <t xml:space="preserve">Air, Sea</t>
  </si>
  <si>
    <t xml:space="preserve">SOS, DHL</t>
  </si>
  <si>
    <t xml:space="preserve">Seaboard, MSC</t>
  </si>
  <si>
    <t xml:space="preserve">Costa Rica</t>
  </si>
  <si>
    <t xml:space="preserve">CR</t>
  </si>
  <si>
    <t xml:space="preserve">US47-CR08</t>
  </si>
  <si>
    <t xml:space="preserve">SOS</t>
  </si>
  <si>
    <t xml:space="preserve">MSC, Maersk</t>
  </si>
  <si>
    <t xml:space="preserve">El Salvador</t>
  </si>
  <si>
    <t xml:space="preserve">ELS</t>
  </si>
  <si>
    <t xml:space="preserve">US47-PA10</t>
  </si>
  <si>
    <t xml:space="preserve">MSC</t>
  </si>
  <si>
    <t xml:space="preserve">Serial_No</t>
  </si>
  <si>
    <t xml:space="preserve">Guatemala</t>
  </si>
  <si>
    <t xml:space="preserve">GUA</t>
  </si>
  <si>
    <t xml:space="preserve">Hapag Lloyd, Maersk, Seaboard</t>
  </si>
  <si>
    <t xml:space="preserve">Honduras</t>
  </si>
  <si>
    <t xml:space="preserve">HON</t>
  </si>
  <si>
    <t xml:space="preserve">US47-HN25</t>
  </si>
  <si>
    <t xml:space="preserve">Amerijet</t>
  </si>
  <si>
    <t xml:space="preserve">JAP</t>
  </si>
  <si>
    <t xml:space="preserve">US47-GBA1</t>
  </si>
  <si>
    <t xml:space="preserve">GBA1-JP21, US41-GBA1</t>
  </si>
  <si>
    <t xml:space="preserve">Bennett, DHL</t>
  </si>
  <si>
    <t xml:space="preserve">ONE, Hapag Lloyd</t>
  </si>
  <si>
    <t xml:space="preserve">Tape_Color, ETA_Tokyo, Data_Logger, Price, Lead_Time, COB_Rail/Sail, TTB_Dates</t>
  </si>
  <si>
    <t xml:space="preserve">MAU</t>
  </si>
  <si>
    <t xml:space="preserve">Velogic</t>
  </si>
  <si>
    <t xml:space="preserve">CMA-CGM</t>
  </si>
  <si>
    <t xml:space="preserve">Panama</t>
  </si>
  <si>
    <t xml:space="preserve">PAN</t>
  </si>
  <si>
    <t xml:space="preserve">Bennett, Unique</t>
  </si>
  <si>
    <t xml:space="preserve">TAI</t>
  </si>
  <si>
    <t xml:space="preserve">US47-TW05</t>
  </si>
  <si>
    <t xml:space="preserve">ONE</t>
  </si>
  <si>
    <t xml:space="preserve">Data_Logger, CIF_Los_Angeles, Arrived_Memphis/LA</t>
  </si>
  <si>
    <t xml:space="preserve">Shipment Summary Dashboard</t>
  </si>
  <si>
    <t xml:space="preserve">Total Shipments:</t>
  </si>
  <si>
    <t xml:space="preserve">Air Shipments:</t>
  </si>
  <si>
    <t xml:space="preserve">Sea Shipments:</t>
  </si>
  <si>
    <t xml:space="preserve">By Country:</t>
  </si>
  <si>
    <t xml:space="preserve">  Japan:</t>
  </si>
  <si>
    <t xml:space="preserve">  Colombia:</t>
  </si>
  <si>
    <t xml:space="preserve">  Taiwan:</t>
  </si>
  <si>
    <t xml:space="preserve">  Honduras:</t>
  </si>
  <si>
    <t xml:space="preserve">  Others:</t>
  </si>
  <si>
    <t xml:space="preserve">Totals:</t>
  </si>
  <si>
    <t xml:space="preserve">  Total Cases:</t>
  </si>
  <si>
    <t xml:space="preserve">  Total Sticks:</t>
  </si>
  <si>
    <t xml:space="preserve">  Total Value: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</si>
</sst>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6"/>
      <name val="Cambria"/>
      <family val="0"/>
      <charset val="1"/>
    </font>
    <font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2F5496"/>
        <bgColor rgb="FF666699"/>
      </patternFill>
    </fill>
    <fill>
      <patternFill patternType="solid">
        <fgColor rgb="FF92D050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6B6B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B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0" min="1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2" t="s">
        <v>26</v>
      </c>
      <c r="AB1" s="4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3" t="s">
        <v>37</v>
      </c>
      <c r="AM1" s="2" t="s">
        <v>38</v>
      </c>
      <c r="AN1" s="2" t="s">
        <v>39</v>
      </c>
      <c r="AO1" s="2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2" t="s">
        <v>57</v>
      </c>
      <c r="BG1" s="3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3" t="s">
        <v>70</v>
      </c>
      <c r="BT1" s="3" t="s">
        <v>71</v>
      </c>
      <c r="BU1" s="3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2" t="s">
        <v>79</v>
      </c>
    </row>
  </sheetData>
  <dataValidations count="3">
    <dataValidation allowBlank="false" errorStyle="stop" operator="between" showDropDown="false" showErrorMessage="false" showInputMessage="false" sqref="C2:C1000" type="list">
      <formula1>"Air,Sea"</formula1>
      <formula2>0</formula2>
    </dataValidation>
    <dataValidation allowBlank="false" errorStyle="stop" operator="between" showDropDown="false" showErrorMessage="false" showInputMessage="false" sqref="D2:D1000" type="list">
      <formula1>"Colombia,Costa Rica,El Salvador,Guatemala,Honduras,Japan,Mauritius,Panama,Taiwan"</formula1>
      <formula2>0</formula2>
    </dataValidation>
    <dataValidation allowBlank="true" errorStyle="stop" operator="between" showDropDown="false" showErrorMessage="false" showInputMessage="false" sqref="BS2:BS1000" type="list">
      <formula1>"Black,Red,Green,Blue,Yellow,White,Orange"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50"/>
    <col collapsed="false" customWidth="true" hidden="false" outlineLevel="0" max="7" min="7" style="0" width="25"/>
  </cols>
  <sheetData>
    <row r="1" customFormat="false" ht="15" hidden="false" customHeight="false" outlineLevel="0" collapsed="false">
      <c r="A1" s="6" t="s">
        <v>80</v>
      </c>
      <c r="B1" s="6" t="s">
        <v>81</v>
      </c>
      <c r="C1" s="6" t="s">
        <v>82</v>
      </c>
      <c r="D1" s="6" t="s">
        <v>83</v>
      </c>
      <c r="E1" s="6" t="s">
        <v>84</v>
      </c>
      <c r="F1" s="6" t="s">
        <v>13</v>
      </c>
      <c r="G1" s="6" t="s">
        <v>85</v>
      </c>
    </row>
    <row r="2" customFormat="false" ht="15" hidden="false" customHeight="false" outlineLevel="0" collapsed="false">
      <c r="A2" s="7" t="s">
        <v>0</v>
      </c>
      <c r="B2" s="8" t="s">
        <v>86</v>
      </c>
      <c r="C2" s="7" t="s">
        <v>87</v>
      </c>
      <c r="D2" s="7" t="s">
        <v>88</v>
      </c>
      <c r="E2" s="7" t="s">
        <v>89</v>
      </c>
      <c r="F2" s="7" t="s">
        <v>90</v>
      </c>
      <c r="G2" s="7" t="s">
        <v>91</v>
      </c>
    </row>
    <row r="3" customFormat="false" ht="15" hidden="false" customHeight="false" outlineLevel="0" collapsed="false">
      <c r="A3" s="7" t="s">
        <v>1</v>
      </c>
      <c r="B3" s="8" t="s">
        <v>86</v>
      </c>
      <c r="C3" s="7" t="s">
        <v>92</v>
      </c>
      <c r="D3" s="7" t="s">
        <v>88</v>
      </c>
      <c r="E3" s="7" t="s">
        <v>89</v>
      </c>
      <c r="F3" s="7" t="s">
        <v>93</v>
      </c>
      <c r="G3" s="7" t="s">
        <v>94</v>
      </c>
    </row>
    <row r="4" customFormat="false" ht="15" hidden="false" customHeight="false" outlineLevel="0" collapsed="false">
      <c r="A4" s="7" t="s">
        <v>2</v>
      </c>
      <c r="B4" s="8" t="s">
        <v>86</v>
      </c>
      <c r="C4" s="7" t="s">
        <v>87</v>
      </c>
      <c r="D4" s="7" t="s">
        <v>88</v>
      </c>
      <c r="E4" s="7" t="s">
        <v>89</v>
      </c>
      <c r="F4" s="7" t="s">
        <v>95</v>
      </c>
      <c r="G4" s="7" t="s">
        <v>96</v>
      </c>
    </row>
    <row r="5" customFormat="false" ht="15" hidden="false" customHeight="false" outlineLevel="0" collapsed="false">
      <c r="A5" s="7" t="s">
        <v>3</v>
      </c>
      <c r="B5" s="8" t="s">
        <v>86</v>
      </c>
      <c r="C5" s="7" t="s">
        <v>87</v>
      </c>
      <c r="D5" s="7" t="s">
        <v>88</v>
      </c>
      <c r="E5" s="7" t="s">
        <v>89</v>
      </c>
      <c r="F5" s="7" t="s">
        <v>97</v>
      </c>
      <c r="G5" s="7" t="s">
        <v>98</v>
      </c>
    </row>
    <row r="6" customFormat="false" ht="15" hidden="false" customHeight="false" outlineLevel="0" collapsed="false">
      <c r="A6" s="7" t="s">
        <v>4</v>
      </c>
      <c r="B6" s="7" t="s">
        <v>99</v>
      </c>
      <c r="C6" s="7" t="s">
        <v>87</v>
      </c>
      <c r="D6" s="7" t="s">
        <v>88</v>
      </c>
      <c r="E6" s="7" t="s">
        <v>89</v>
      </c>
      <c r="F6" s="7" t="s">
        <v>100</v>
      </c>
      <c r="G6" s="7" t="s">
        <v>98</v>
      </c>
    </row>
    <row r="7" customFormat="false" ht="15" hidden="false" customHeight="false" outlineLevel="0" collapsed="false">
      <c r="A7" s="7" t="s">
        <v>5</v>
      </c>
      <c r="B7" s="7" t="s">
        <v>99</v>
      </c>
      <c r="C7" s="7" t="s">
        <v>87</v>
      </c>
      <c r="D7" s="7" t="s">
        <v>88</v>
      </c>
      <c r="E7" s="7" t="s">
        <v>89</v>
      </c>
      <c r="F7" s="7" t="s">
        <v>101</v>
      </c>
      <c r="G7" s="7" t="s">
        <v>102</v>
      </c>
    </row>
    <row r="8" customFormat="false" ht="15" hidden="false" customHeight="false" outlineLevel="0" collapsed="false">
      <c r="A8" s="7" t="s">
        <v>6</v>
      </c>
      <c r="B8" s="7" t="s">
        <v>99</v>
      </c>
      <c r="C8" s="7" t="s">
        <v>87</v>
      </c>
      <c r="D8" s="7" t="s">
        <v>88</v>
      </c>
      <c r="E8" s="7" t="s">
        <v>103</v>
      </c>
      <c r="F8" s="7" t="s">
        <v>104</v>
      </c>
      <c r="G8" s="7" t="s">
        <v>105</v>
      </c>
    </row>
    <row r="9" customFormat="false" ht="15" hidden="false" customHeight="false" outlineLevel="0" collapsed="false">
      <c r="A9" s="7" t="s">
        <v>7</v>
      </c>
      <c r="B9" s="8" t="s">
        <v>86</v>
      </c>
      <c r="C9" s="7" t="s">
        <v>87</v>
      </c>
      <c r="D9" s="7" t="s">
        <v>88</v>
      </c>
      <c r="E9" s="7" t="s">
        <v>103</v>
      </c>
      <c r="F9" s="7" t="s">
        <v>106</v>
      </c>
      <c r="G9" s="7" t="s">
        <v>107</v>
      </c>
    </row>
    <row r="10" customFormat="false" ht="15" hidden="false" customHeight="false" outlineLevel="0" collapsed="false">
      <c r="A10" s="7" t="s">
        <v>8</v>
      </c>
      <c r="B10" s="7" t="s">
        <v>99</v>
      </c>
      <c r="C10" s="7" t="s">
        <v>87</v>
      </c>
      <c r="D10" s="9" t="s">
        <v>108</v>
      </c>
      <c r="E10" s="7" t="s">
        <v>103</v>
      </c>
      <c r="F10" s="7" t="s">
        <v>109</v>
      </c>
      <c r="G10" s="7" t="s">
        <v>110</v>
      </c>
    </row>
    <row r="11" customFormat="false" ht="15" hidden="false" customHeight="false" outlineLevel="0" collapsed="false">
      <c r="A11" s="7" t="s">
        <v>9</v>
      </c>
      <c r="B11" s="7" t="s">
        <v>99</v>
      </c>
      <c r="C11" s="7" t="s">
        <v>87</v>
      </c>
      <c r="D11" s="9" t="s">
        <v>98</v>
      </c>
      <c r="E11" s="7" t="s">
        <v>103</v>
      </c>
      <c r="F11" s="7" t="s">
        <v>111</v>
      </c>
      <c r="G11" s="7" t="s">
        <v>112</v>
      </c>
    </row>
    <row r="12" customFormat="false" ht="15" hidden="false" customHeight="false" outlineLevel="0" collapsed="false">
      <c r="A12" s="7" t="s">
        <v>10</v>
      </c>
      <c r="B12" s="8" t="s">
        <v>86</v>
      </c>
      <c r="C12" s="7" t="s">
        <v>87</v>
      </c>
      <c r="D12" s="7" t="s">
        <v>88</v>
      </c>
      <c r="E12" s="7" t="s">
        <v>103</v>
      </c>
      <c r="F12" s="7" t="s">
        <v>113</v>
      </c>
      <c r="G12" s="7" t="s">
        <v>114</v>
      </c>
    </row>
    <row r="13" customFormat="false" ht="15" hidden="false" customHeight="false" outlineLevel="0" collapsed="false">
      <c r="A13" s="7" t="s">
        <v>11</v>
      </c>
      <c r="B13" s="7" t="s">
        <v>99</v>
      </c>
      <c r="C13" s="7" t="s">
        <v>87</v>
      </c>
      <c r="D13" s="7" t="s">
        <v>115</v>
      </c>
      <c r="E13" s="7" t="s">
        <v>103</v>
      </c>
      <c r="F13" s="7" t="s">
        <v>116</v>
      </c>
      <c r="G13" s="7" t="s">
        <v>117</v>
      </c>
    </row>
    <row r="14" customFormat="false" ht="15" hidden="false" customHeight="false" outlineLevel="0" collapsed="false">
      <c r="A14" s="7" t="s">
        <v>12</v>
      </c>
      <c r="B14" s="8" t="s">
        <v>86</v>
      </c>
      <c r="C14" s="7" t="s">
        <v>87</v>
      </c>
      <c r="D14" s="7" t="s">
        <v>88</v>
      </c>
      <c r="E14" s="7" t="s">
        <v>118</v>
      </c>
      <c r="F14" s="7" t="s">
        <v>119</v>
      </c>
      <c r="G14" s="7" t="s">
        <v>120</v>
      </c>
    </row>
    <row r="15" customFormat="false" ht="15" hidden="false" customHeight="false" outlineLevel="0" collapsed="false">
      <c r="A15" s="7" t="s">
        <v>13</v>
      </c>
      <c r="B15" s="8" t="s">
        <v>86</v>
      </c>
      <c r="C15" s="7" t="s">
        <v>87</v>
      </c>
      <c r="D15" s="7" t="s">
        <v>88</v>
      </c>
      <c r="E15" s="7" t="s">
        <v>118</v>
      </c>
      <c r="F15" s="7" t="s">
        <v>121</v>
      </c>
      <c r="G15" s="7" t="s">
        <v>122</v>
      </c>
    </row>
    <row r="16" customFormat="false" ht="15" hidden="false" customHeight="false" outlineLevel="0" collapsed="false">
      <c r="A16" s="7" t="s">
        <v>14</v>
      </c>
      <c r="B16" s="8" t="s">
        <v>86</v>
      </c>
      <c r="C16" s="7" t="s">
        <v>123</v>
      </c>
      <c r="D16" s="7" t="s">
        <v>88</v>
      </c>
      <c r="E16" s="7" t="s">
        <v>124</v>
      </c>
      <c r="F16" s="7" t="s">
        <v>125</v>
      </c>
      <c r="G16" s="7" t="s">
        <v>126</v>
      </c>
    </row>
    <row r="17" customFormat="false" ht="15" hidden="false" customHeight="false" outlineLevel="0" collapsed="false">
      <c r="A17" s="7" t="s">
        <v>15</v>
      </c>
      <c r="B17" s="8" t="s">
        <v>86</v>
      </c>
      <c r="C17" s="7" t="s">
        <v>123</v>
      </c>
      <c r="D17" s="7" t="s">
        <v>88</v>
      </c>
      <c r="E17" s="7" t="s">
        <v>124</v>
      </c>
      <c r="F17" s="7" t="s">
        <v>127</v>
      </c>
      <c r="G17" s="7" t="s">
        <v>128</v>
      </c>
    </row>
    <row r="18" customFormat="false" ht="15" hidden="false" customHeight="false" outlineLevel="0" collapsed="false">
      <c r="A18" s="7" t="s">
        <v>16</v>
      </c>
      <c r="B18" s="7" t="s">
        <v>99</v>
      </c>
      <c r="C18" s="7" t="s">
        <v>123</v>
      </c>
      <c r="D18" s="7" t="s">
        <v>88</v>
      </c>
      <c r="E18" s="7" t="s">
        <v>124</v>
      </c>
      <c r="F18" s="7" t="s">
        <v>129</v>
      </c>
      <c r="G18" s="7" t="s">
        <v>130</v>
      </c>
    </row>
    <row r="19" customFormat="false" ht="15" hidden="false" customHeight="false" outlineLevel="0" collapsed="false">
      <c r="A19" s="7" t="s">
        <v>17</v>
      </c>
      <c r="B19" s="7" t="s">
        <v>99</v>
      </c>
      <c r="C19" s="7" t="s">
        <v>87</v>
      </c>
      <c r="D19" s="7" t="s">
        <v>88</v>
      </c>
      <c r="E19" s="7" t="s">
        <v>124</v>
      </c>
      <c r="F19" s="7" t="s">
        <v>131</v>
      </c>
      <c r="G19" s="7" t="s">
        <v>132</v>
      </c>
    </row>
    <row r="20" customFormat="false" ht="15" hidden="false" customHeight="false" outlineLevel="0" collapsed="false">
      <c r="A20" s="7" t="s">
        <v>18</v>
      </c>
      <c r="B20" s="7" t="s">
        <v>99</v>
      </c>
      <c r="C20" s="7" t="s">
        <v>87</v>
      </c>
      <c r="D20" s="7" t="s">
        <v>88</v>
      </c>
      <c r="E20" s="7" t="s">
        <v>124</v>
      </c>
      <c r="F20" s="7" t="s">
        <v>133</v>
      </c>
      <c r="G20" s="7" t="s">
        <v>134</v>
      </c>
    </row>
    <row r="21" customFormat="false" ht="15" hidden="false" customHeight="false" outlineLevel="0" collapsed="false">
      <c r="A21" s="7" t="s">
        <v>19</v>
      </c>
      <c r="B21" s="7" t="s">
        <v>99</v>
      </c>
      <c r="C21" s="7" t="s">
        <v>135</v>
      </c>
      <c r="D21" s="7" t="s">
        <v>88</v>
      </c>
      <c r="E21" s="7" t="s">
        <v>136</v>
      </c>
      <c r="F21" s="7" t="s">
        <v>137</v>
      </c>
      <c r="G21" s="7" t="s">
        <v>138</v>
      </c>
    </row>
    <row r="22" customFormat="false" ht="15" hidden="false" customHeight="false" outlineLevel="0" collapsed="false">
      <c r="A22" s="7" t="s">
        <v>20</v>
      </c>
      <c r="B22" s="7" t="s">
        <v>99</v>
      </c>
      <c r="C22" s="7" t="s">
        <v>135</v>
      </c>
      <c r="D22" s="7" t="s">
        <v>88</v>
      </c>
      <c r="E22" s="7" t="s">
        <v>136</v>
      </c>
      <c r="F22" s="7" t="s">
        <v>139</v>
      </c>
      <c r="G22" s="7" t="s">
        <v>140</v>
      </c>
    </row>
    <row r="23" customFormat="false" ht="15" hidden="false" customHeight="false" outlineLevel="0" collapsed="false">
      <c r="A23" s="7" t="s">
        <v>21</v>
      </c>
      <c r="B23" s="7" t="s">
        <v>99</v>
      </c>
      <c r="C23" s="7" t="s">
        <v>135</v>
      </c>
      <c r="D23" s="7" t="s">
        <v>88</v>
      </c>
      <c r="E23" s="7" t="s">
        <v>141</v>
      </c>
      <c r="F23" s="7" t="s">
        <v>142</v>
      </c>
      <c r="G23" s="7" t="s">
        <v>143</v>
      </c>
    </row>
    <row r="24" customFormat="false" ht="15" hidden="false" customHeight="false" outlineLevel="0" collapsed="false">
      <c r="A24" s="7" t="s">
        <v>22</v>
      </c>
      <c r="B24" s="7" t="s">
        <v>99</v>
      </c>
      <c r="C24" s="7" t="s">
        <v>87</v>
      </c>
      <c r="D24" s="7" t="s">
        <v>88</v>
      </c>
      <c r="E24" s="7" t="s">
        <v>141</v>
      </c>
      <c r="F24" s="7" t="s">
        <v>144</v>
      </c>
      <c r="G24" s="7" t="s">
        <v>145</v>
      </c>
    </row>
    <row r="25" customFormat="false" ht="15" hidden="false" customHeight="false" outlineLevel="0" collapsed="false">
      <c r="A25" s="7" t="s">
        <v>23</v>
      </c>
      <c r="B25" s="7" t="s">
        <v>99</v>
      </c>
      <c r="C25" s="7" t="s">
        <v>92</v>
      </c>
      <c r="D25" s="7" t="s">
        <v>88</v>
      </c>
      <c r="E25" s="7" t="s">
        <v>141</v>
      </c>
      <c r="F25" s="7" t="s">
        <v>146</v>
      </c>
      <c r="G25" s="7" t="s">
        <v>147</v>
      </c>
    </row>
    <row r="26" customFormat="false" ht="15" hidden="false" customHeight="false" outlineLevel="0" collapsed="false">
      <c r="A26" s="7" t="s">
        <v>24</v>
      </c>
      <c r="B26" s="7" t="s">
        <v>99</v>
      </c>
      <c r="C26" s="7" t="s">
        <v>135</v>
      </c>
      <c r="D26" s="9" t="s">
        <v>98</v>
      </c>
      <c r="E26" s="7" t="s">
        <v>141</v>
      </c>
      <c r="F26" s="7" t="s">
        <v>148</v>
      </c>
      <c r="G26" s="7" t="s">
        <v>149</v>
      </c>
    </row>
    <row r="27" customFormat="false" ht="15" hidden="false" customHeight="false" outlineLevel="0" collapsed="false">
      <c r="A27" s="7" t="s">
        <v>25</v>
      </c>
      <c r="B27" s="7" t="s">
        <v>99</v>
      </c>
      <c r="C27" s="7" t="s">
        <v>87</v>
      </c>
      <c r="D27" s="9" t="s">
        <v>98</v>
      </c>
      <c r="E27" s="7" t="s">
        <v>141</v>
      </c>
      <c r="F27" s="7" t="s">
        <v>150</v>
      </c>
      <c r="G27" s="7" t="s">
        <v>151</v>
      </c>
    </row>
    <row r="28" customFormat="false" ht="15" hidden="false" customHeight="false" outlineLevel="0" collapsed="false">
      <c r="A28" s="7" t="s">
        <v>26</v>
      </c>
      <c r="B28" s="7" t="s">
        <v>99</v>
      </c>
      <c r="C28" s="7" t="s">
        <v>87</v>
      </c>
      <c r="D28" s="7" t="s">
        <v>88</v>
      </c>
      <c r="E28" s="7" t="s">
        <v>141</v>
      </c>
      <c r="F28" s="7" t="s">
        <v>152</v>
      </c>
      <c r="G28" s="7" t="s">
        <v>153</v>
      </c>
    </row>
    <row r="29" customFormat="false" ht="15" hidden="false" customHeight="false" outlineLevel="0" collapsed="false">
      <c r="A29" s="7" t="s">
        <v>27</v>
      </c>
      <c r="B29" s="7" t="s">
        <v>99</v>
      </c>
      <c r="C29" s="7" t="s">
        <v>87</v>
      </c>
      <c r="D29" s="10" t="s">
        <v>154</v>
      </c>
      <c r="E29" s="7" t="s">
        <v>141</v>
      </c>
      <c r="F29" s="7" t="s">
        <v>155</v>
      </c>
      <c r="G29" s="7"/>
    </row>
    <row r="30" customFormat="false" ht="15" hidden="false" customHeight="false" outlineLevel="0" collapsed="false">
      <c r="A30" s="7" t="s">
        <v>28</v>
      </c>
      <c r="B30" s="7" t="s">
        <v>99</v>
      </c>
      <c r="C30" s="7" t="s">
        <v>87</v>
      </c>
      <c r="D30" s="7" t="s">
        <v>88</v>
      </c>
      <c r="E30" s="7" t="s">
        <v>141</v>
      </c>
      <c r="F30" s="7" t="s">
        <v>156</v>
      </c>
      <c r="G30" s="7" t="s">
        <v>157</v>
      </c>
    </row>
    <row r="31" customFormat="false" ht="15" hidden="false" customHeight="false" outlineLevel="0" collapsed="false">
      <c r="A31" s="7" t="s">
        <v>29</v>
      </c>
      <c r="B31" s="7" t="s">
        <v>99</v>
      </c>
      <c r="C31" s="7" t="s">
        <v>87</v>
      </c>
      <c r="D31" s="7" t="s">
        <v>96</v>
      </c>
      <c r="E31" s="7" t="s">
        <v>158</v>
      </c>
      <c r="F31" s="7" t="s">
        <v>159</v>
      </c>
      <c r="G31" s="7" t="s">
        <v>160</v>
      </c>
    </row>
    <row r="32" customFormat="false" ht="15" hidden="false" customHeight="false" outlineLevel="0" collapsed="false">
      <c r="A32" s="7" t="s">
        <v>30</v>
      </c>
      <c r="B32" s="7" t="s">
        <v>99</v>
      </c>
      <c r="C32" s="7" t="s">
        <v>87</v>
      </c>
      <c r="D32" s="7" t="s">
        <v>96</v>
      </c>
      <c r="E32" s="7" t="s">
        <v>158</v>
      </c>
      <c r="F32" s="7" t="s">
        <v>161</v>
      </c>
      <c r="G32" s="7" t="s">
        <v>162</v>
      </c>
    </row>
    <row r="33" customFormat="false" ht="15" hidden="false" customHeight="false" outlineLevel="0" collapsed="false">
      <c r="A33" s="7" t="s">
        <v>31</v>
      </c>
      <c r="B33" s="7" t="s">
        <v>99</v>
      </c>
      <c r="C33" s="7" t="s">
        <v>87</v>
      </c>
      <c r="D33" s="7" t="s">
        <v>96</v>
      </c>
      <c r="E33" s="7" t="s">
        <v>158</v>
      </c>
      <c r="F33" s="7" t="s">
        <v>163</v>
      </c>
      <c r="G33" s="7" t="s">
        <v>164</v>
      </c>
    </row>
    <row r="34" customFormat="false" ht="15" hidden="false" customHeight="false" outlineLevel="0" collapsed="false">
      <c r="A34" s="7" t="s">
        <v>32</v>
      </c>
      <c r="B34" s="7" t="s">
        <v>99</v>
      </c>
      <c r="C34" s="7" t="s">
        <v>87</v>
      </c>
      <c r="D34" s="7" t="s">
        <v>96</v>
      </c>
      <c r="E34" s="7" t="s">
        <v>158</v>
      </c>
      <c r="F34" s="7" t="s">
        <v>165</v>
      </c>
      <c r="G34" s="7" t="s">
        <v>166</v>
      </c>
    </row>
    <row r="35" customFormat="false" ht="15" hidden="false" customHeight="false" outlineLevel="0" collapsed="false">
      <c r="A35" s="7" t="s">
        <v>33</v>
      </c>
      <c r="B35" s="7" t="s">
        <v>99</v>
      </c>
      <c r="C35" s="7" t="s">
        <v>87</v>
      </c>
      <c r="D35" s="7" t="s">
        <v>167</v>
      </c>
      <c r="E35" s="7" t="s">
        <v>168</v>
      </c>
      <c r="F35" s="7" t="s">
        <v>169</v>
      </c>
      <c r="G35" s="7" t="s">
        <v>170</v>
      </c>
    </row>
    <row r="36" customFormat="false" ht="15" hidden="false" customHeight="false" outlineLevel="0" collapsed="false">
      <c r="A36" s="7" t="s">
        <v>34</v>
      </c>
      <c r="B36" s="7" t="s">
        <v>99</v>
      </c>
      <c r="C36" s="7" t="s">
        <v>87</v>
      </c>
      <c r="D36" s="7" t="s">
        <v>88</v>
      </c>
      <c r="E36" s="7" t="s">
        <v>168</v>
      </c>
      <c r="F36" s="7" t="s">
        <v>171</v>
      </c>
      <c r="G36" s="7" t="s">
        <v>172</v>
      </c>
    </row>
    <row r="37" customFormat="false" ht="15" hidden="false" customHeight="false" outlineLevel="0" collapsed="false">
      <c r="A37" s="7" t="s">
        <v>35</v>
      </c>
      <c r="B37" s="7" t="s">
        <v>99</v>
      </c>
      <c r="C37" s="7" t="s">
        <v>87</v>
      </c>
      <c r="D37" s="7" t="s">
        <v>88</v>
      </c>
      <c r="E37" s="7" t="s">
        <v>168</v>
      </c>
      <c r="F37" s="7" t="s">
        <v>173</v>
      </c>
      <c r="G37" s="7" t="s">
        <v>174</v>
      </c>
    </row>
    <row r="38" customFormat="false" ht="15" hidden="false" customHeight="false" outlineLevel="0" collapsed="false">
      <c r="A38" s="7" t="s">
        <v>36</v>
      </c>
      <c r="B38" s="7" t="s">
        <v>99</v>
      </c>
      <c r="C38" s="7" t="s">
        <v>87</v>
      </c>
      <c r="D38" s="7" t="s">
        <v>167</v>
      </c>
      <c r="E38" s="7" t="s">
        <v>168</v>
      </c>
      <c r="F38" s="7" t="s">
        <v>175</v>
      </c>
      <c r="G38" s="7"/>
    </row>
    <row r="39" customFormat="false" ht="15" hidden="false" customHeight="false" outlineLevel="0" collapsed="false">
      <c r="A39" s="7" t="s">
        <v>37</v>
      </c>
      <c r="B39" s="7" t="s">
        <v>99</v>
      </c>
      <c r="C39" s="7" t="s">
        <v>87</v>
      </c>
      <c r="D39" s="9" t="s">
        <v>108</v>
      </c>
      <c r="E39" s="7" t="s">
        <v>168</v>
      </c>
      <c r="F39" s="7" t="s">
        <v>176</v>
      </c>
      <c r="G39" s="7" t="s">
        <v>177</v>
      </c>
    </row>
    <row r="40" customFormat="false" ht="15" hidden="false" customHeight="false" outlineLevel="0" collapsed="false">
      <c r="A40" s="7" t="s">
        <v>38</v>
      </c>
      <c r="B40" s="7" t="s">
        <v>99</v>
      </c>
      <c r="C40" s="7" t="s">
        <v>92</v>
      </c>
      <c r="D40" s="7" t="s">
        <v>88</v>
      </c>
      <c r="E40" s="7" t="s">
        <v>178</v>
      </c>
      <c r="F40" s="7" t="s">
        <v>179</v>
      </c>
      <c r="G40" s="7" t="s">
        <v>180</v>
      </c>
    </row>
    <row r="41" customFormat="false" ht="15" hidden="false" customHeight="false" outlineLevel="0" collapsed="false">
      <c r="A41" s="7" t="s">
        <v>39</v>
      </c>
      <c r="B41" s="7" t="s">
        <v>99</v>
      </c>
      <c r="C41" s="7" t="s">
        <v>92</v>
      </c>
      <c r="D41" s="7" t="s">
        <v>88</v>
      </c>
      <c r="E41" s="7" t="s">
        <v>178</v>
      </c>
      <c r="F41" s="7" t="s">
        <v>181</v>
      </c>
      <c r="G41" s="7" t="s">
        <v>180</v>
      </c>
    </row>
    <row r="42" customFormat="false" ht="15" hidden="false" customHeight="false" outlineLevel="0" collapsed="false">
      <c r="A42" s="7" t="s">
        <v>40</v>
      </c>
      <c r="B42" s="7" t="s">
        <v>99</v>
      </c>
      <c r="C42" s="7" t="s">
        <v>92</v>
      </c>
      <c r="D42" s="7" t="s">
        <v>88</v>
      </c>
      <c r="E42" s="7" t="s">
        <v>178</v>
      </c>
      <c r="F42" s="7" t="s">
        <v>182</v>
      </c>
      <c r="G42" s="7" t="s">
        <v>183</v>
      </c>
    </row>
    <row r="43" customFormat="false" ht="15" hidden="false" customHeight="false" outlineLevel="0" collapsed="false">
      <c r="A43" s="7" t="s">
        <v>41</v>
      </c>
      <c r="B43" s="7" t="s">
        <v>99</v>
      </c>
      <c r="C43" s="7" t="s">
        <v>92</v>
      </c>
      <c r="D43" s="9" t="s">
        <v>98</v>
      </c>
      <c r="E43" s="7" t="s">
        <v>178</v>
      </c>
      <c r="F43" s="7" t="s">
        <v>184</v>
      </c>
      <c r="G43" s="7" t="s">
        <v>185</v>
      </c>
    </row>
    <row r="44" customFormat="false" ht="15" hidden="false" customHeight="false" outlineLevel="0" collapsed="false">
      <c r="A44" s="7" t="s">
        <v>42</v>
      </c>
      <c r="B44" s="7" t="s">
        <v>99</v>
      </c>
      <c r="C44" s="7" t="s">
        <v>87</v>
      </c>
      <c r="D44" s="9" t="s">
        <v>98</v>
      </c>
      <c r="E44" s="7" t="s">
        <v>178</v>
      </c>
      <c r="F44" s="7" t="s">
        <v>186</v>
      </c>
      <c r="G44" s="7" t="s">
        <v>187</v>
      </c>
    </row>
    <row r="45" customFormat="false" ht="15" hidden="false" customHeight="false" outlineLevel="0" collapsed="false">
      <c r="A45" s="7" t="s">
        <v>43</v>
      </c>
      <c r="B45" s="7" t="s">
        <v>99</v>
      </c>
      <c r="C45" s="7" t="s">
        <v>87</v>
      </c>
      <c r="D45" s="9" t="s">
        <v>108</v>
      </c>
      <c r="E45" s="7" t="s">
        <v>178</v>
      </c>
      <c r="F45" s="7" t="s">
        <v>188</v>
      </c>
      <c r="G45" s="7" t="s">
        <v>189</v>
      </c>
    </row>
    <row r="46" customFormat="false" ht="15" hidden="false" customHeight="false" outlineLevel="0" collapsed="false">
      <c r="A46" s="7" t="s">
        <v>44</v>
      </c>
      <c r="B46" s="7" t="s">
        <v>99</v>
      </c>
      <c r="C46" s="7" t="s">
        <v>87</v>
      </c>
      <c r="D46" s="9" t="s">
        <v>108</v>
      </c>
      <c r="E46" s="7" t="s">
        <v>178</v>
      </c>
      <c r="F46" s="7" t="s">
        <v>190</v>
      </c>
      <c r="G46" s="7" t="s">
        <v>191</v>
      </c>
    </row>
    <row r="47" customFormat="false" ht="15" hidden="false" customHeight="false" outlineLevel="0" collapsed="false">
      <c r="A47" s="7" t="s">
        <v>45</v>
      </c>
      <c r="B47" s="7" t="s">
        <v>99</v>
      </c>
      <c r="C47" s="7" t="s">
        <v>87</v>
      </c>
      <c r="D47" s="9" t="s">
        <v>108</v>
      </c>
      <c r="E47" s="7" t="s">
        <v>178</v>
      </c>
      <c r="F47" s="7" t="s">
        <v>192</v>
      </c>
      <c r="G47" s="7" t="s">
        <v>193</v>
      </c>
    </row>
    <row r="48" customFormat="false" ht="15" hidden="false" customHeight="false" outlineLevel="0" collapsed="false">
      <c r="A48" s="7" t="s">
        <v>46</v>
      </c>
      <c r="B48" s="7" t="s">
        <v>99</v>
      </c>
      <c r="C48" s="7" t="s">
        <v>87</v>
      </c>
      <c r="D48" s="9" t="s">
        <v>98</v>
      </c>
      <c r="E48" s="7" t="s">
        <v>178</v>
      </c>
      <c r="F48" s="7" t="s">
        <v>194</v>
      </c>
      <c r="G48" s="7" t="s">
        <v>195</v>
      </c>
    </row>
    <row r="49" customFormat="false" ht="15" hidden="false" customHeight="false" outlineLevel="0" collapsed="false">
      <c r="A49" s="7" t="s">
        <v>47</v>
      </c>
      <c r="B49" s="7" t="s">
        <v>99</v>
      </c>
      <c r="C49" s="7" t="s">
        <v>87</v>
      </c>
      <c r="D49" s="7" t="s">
        <v>167</v>
      </c>
      <c r="E49" s="7" t="s">
        <v>196</v>
      </c>
      <c r="F49" s="7" t="s">
        <v>197</v>
      </c>
      <c r="G49" s="7" t="s">
        <v>198</v>
      </c>
    </row>
    <row r="50" customFormat="false" ht="15" hidden="false" customHeight="false" outlineLevel="0" collapsed="false">
      <c r="A50" s="7" t="s">
        <v>48</v>
      </c>
      <c r="B50" s="7" t="s">
        <v>99</v>
      </c>
      <c r="C50" s="7" t="s">
        <v>87</v>
      </c>
      <c r="D50" s="7" t="s">
        <v>167</v>
      </c>
      <c r="E50" s="7" t="s">
        <v>196</v>
      </c>
      <c r="F50" s="7" t="s">
        <v>199</v>
      </c>
      <c r="G50" s="7" t="s">
        <v>200</v>
      </c>
    </row>
    <row r="51" customFormat="false" ht="15" hidden="false" customHeight="false" outlineLevel="0" collapsed="false">
      <c r="A51" s="7" t="s">
        <v>49</v>
      </c>
      <c r="B51" s="7" t="s">
        <v>99</v>
      </c>
      <c r="C51" s="7" t="s">
        <v>87</v>
      </c>
      <c r="D51" s="7" t="s">
        <v>167</v>
      </c>
      <c r="E51" s="7" t="s">
        <v>196</v>
      </c>
      <c r="F51" s="7" t="s">
        <v>201</v>
      </c>
      <c r="G51" s="7"/>
    </row>
    <row r="52" customFormat="false" ht="15" hidden="false" customHeight="false" outlineLevel="0" collapsed="false">
      <c r="A52" s="7" t="s">
        <v>50</v>
      </c>
      <c r="B52" s="7" t="s">
        <v>99</v>
      </c>
      <c r="C52" s="7" t="s">
        <v>87</v>
      </c>
      <c r="D52" s="7" t="s">
        <v>167</v>
      </c>
      <c r="E52" s="7" t="s">
        <v>196</v>
      </c>
      <c r="F52" s="7" t="s">
        <v>202</v>
      </c>
      <c r="G52" s="7"/>
    </row>
    <row r="53" customFormat="false" ht="15" hidden="false" customHeight="false" outlineLevel="0" collapsed="false">
      <c r="A53" s="7" t="s">
        <v>51</v>
      </c>
      <c r="B53" s="7" t="s">
        <v>99</v>
      </c>
      <c r="C53" s="7" t="s">
        <v>87</v>
      </c>
      <c r="D53" s="7" t="s">
        <v>167</v>
      </c>
      <c r="E53" s="7" t="s">
        <v>196</v>
      </c>
      <c r="F53" s="7" t="s">
        <v>203</v>
      </c>
      <c r="G53" s="7"/>
    </row>
    <row r="54" customFormat="false" ht="15" hidden="false" customHeight="false" outlineLevel="0" collapsed="false">
      <c r="A54" s="7" t="s">
        <v>52</v>
      </c>
      <c r="B54" s="7" t="s">
        <v>99</v>
      </c>
      <c r="C54" s="7" t="s">
        <v>92</v>
      </c>
      <c r="D54" s="9" t="s">
        <v>98</v>
      </c>
      <c r="E54" s="7" t="s">
        <v>204</v>
      </c>
      <c r="F54" s="7" t="s">
        <v>205</v>
      </c>
      <c r="G54" s="7" t="s">
        <v>206</v>
      </c>
    </row>
    <row r="55" customFormat="false" ht="15" hidden="false" customHeight="false" outlineLevel="0" collapsed="false">
      <c r="A55" s="7" t="s">
        <v>53</v>
      </c>
      <c r="B55" s="7" t="s">
        <v>99</v>
      </c>
      <c r="C55" s="7" t="s">
        <v>92</v>
      </c>
      <c r="D55" s="9" t="s">
        <v>98</v>
      </c>
      <c r="E55" s="7" t="s">
        <v>204</v>
      </c>
      <c r="F55" s="7" t="s">
        <v>207</v>
      </c>
      <c r="G55" s="7" t="s">
        <v>195</v>
      </c>
    </row>
    <row r="56" customFormat="false" ht="15" hidden="false" customHeight="false" outlineLevel="0" collapsed="false">
      <c r="A56" s="7" t="s">
        <v>54</v>
      </c>
      <c r="B56" s="7" t="s">
        <v>99</v>
      </c>
      <c r="C56" s="7" t="s">
        <v>92</v>
      </c>
      <c r="D56" s="9" t="s">
        <v>98</v>
      </c>
      <c r="E56" s="7" t="s">
        <v>204</v>
      </c>
      <c r="F56" s="7" t="s">
        <v>208</v>
      </c>
      <c r="G56" s="7" t="s">
        <v>209</v>
      </c>
    </row>
    <row r="57" customFormat="false" ht="15" hidden="false" customHeight="false" outlineLevel="0" collapsed="false">
      <c r="A57" s="7" t="s">
        <v>55</v>
      </c>
      <c r="B57" s="7" t="s">
        <v>99</v>
      </c>
      <c r="C57" s="7" t="s">
        <v>92</v>
      </c>
      <c r="D57" s="9" t="s">
        <v>98</v>
      </c>
      <c r="E57" s="7" t="s">
        <v>204</v>
      </c>
      <c r="F57" s="7" t="s">
        <v>210</v>
      </c>
      <c r="G57" s="7" t="s">
        <v>206</v>
      </c>
    </row>
    <row r="58" customFormat="false" ht="15" hidden="false" customHeight="false" outlineLevel="0" collapsed="false">
      <c r="A58" s="7" t="s">
        <v>56</v>
      </c>
      <c r="B58" s="7" t="s">
        <v>99</v>
      </c>
      <c r="C58" s="7" t="s">
        <v>92</v>
      </c>
      <c r="D58" s="9" t="s">
        <v>98</v>
      </c>
      <c r="E58" s="7" t="s">
        <v>204</v>
      </c>
      <c r="F58" s="7" t="s">
        <v>211</v>
      </c>
      <c r="G58" s="7" t="s">
        <v>212</v>
      </c>
    </row>
    <row r="59" customFormat="false" ht="15" hidden="false" customHeight="false" outlineLevel="0" collapsed="false">
      <c r="A59" s="7" t="s">
        <v>57</v>
      </c>
      <c r="B59" s="7" t="s">
        <v>99</v>
      </c>
      <c r="C59" s="7" t="s">
        <v>92</v>
      </c>
      <c r="D59" s="7" t="s">
        <v>88</v>
      </c>
      <c r="E59" s="7" t="s">
        <v>204</v>
      </c>
      <c r="F59" s="7" t="s">
        <v>213</v>
      </c>
      <c r="G59" s="7" t="s">
        <v>212</v>
      </c>
    </row>
    <row r="60" customFormat="false" ht="15" hidden="false" customHeight="false" outlineLevel="0" collapsed="false">
      <c r="A60" s="7" t="s">
        <v>58</v>
      </c>
      <c r="B60" s="7" t="s">
        <v>99</v>
      </c>
      <c r="C60" s="7" t="s">
        <v>92</v>
      </c>
      <c r="D60" s="9" t="s">
        <v>98</v>
      </c>
      <c r="E60" s="7" t="s">
        <v>204</v>
      </c>
      <c r="F60" s="7" t="s">
        <v>214</v>
      </c>
      <c r="G60" s="7" t="s">
        <v>215</v>
      </c>
    </row>
    <row r="61" customFormat="false" ht="15" hidden="false" customHeight="false" outlineLevel="0" collapsed="false">
      <c r="A61" s="7" t="s">
        <v>59</v>
      </c>
      <c r="B61" s="7" t="s">
        <v>99</v>
      </c>
      <c r="C61" s="7" t="s">
        <v>87</v>
      </c>
      <c r="D61" s="7" t="s">
        <v>88</v>
      </c>
      <c r="E61" s="7" t="s">
        <v>204</v>
      </c>
      <c r="F61" s="7" t="s">
        <v>216</v>
      </c>
      <c r="G61" s="7" t="s">
        <v>217</v>
      </c>
    </row>
    <row r="62" customFormat="false" ht="15" hidden="false" customHeight="false" outlineLevel="0" collapsed="false">
      <c r="A62" s="7" t="s">
        <v>60</v>
      </c>
      <c r="B62" s="7" t="s">
        <v>99</v>
      </c>
      <c r="C62" s="7" t="s">
        <v>87</v>
      </c>
      <c r="D62" s="7" t="s">
        <v>88</v>
      </c>
      <c r="E62" s="7" t="s">
        <v>204</v>
      </c>
      <c r="F62" s="7" t="s">
        <v>218</v>
      </c>
      <c r="G62" s="7" t="s">
        <v>86</v>
      </c>
    </row>
    <row r="63" customFormat="false" ht="15" hidden="false" customHeight="false" outlineLevel="0" collapsed="false">
      <c r="A63" s="7" t="s">
        <v>61</v>
      </c>
      <c r="B63" s="7" t="s">
        <v>99</v>
      </c>
      <c r="C63" s="7" t="s">
        <v>87</v>
      </c>
      <c r="D63" s="7" t="s">
        <v>88</v>
      </c>
      <c r="E63" s="7" t="s">
        <v>204</v>
      </c>
      <c r="F63" s="7" t="s">
        <v>219</v>
      </c>
      <c r="G63" s="7" t="s">
        <v>220</v>
      </c>
    </row>
    <row r="64" customFormat="false" ht="15" hidden="false" customHeight="false" outlineLevel="0" collapsed="false">
      <c r="A64" s="7" t="s">
        <v>62</v>
      </c>
      <c r="B64" s="7" t="s">
        <v>99</v>
      </c>
      <c r="C64" s="7" t="s">
        <v>87</v>
      </c>
      <c r="D64" s="7" t="s">
        <v>88</v>
      </c>
      <c r="E64" s="7" t="s">
        <v>204</v>
      </c>
      <c r="F64" s="7" t="s">
        <v>221</v>
      </c>
      <c r="G64" s="7" t="s">
        <v>217</v>
      </c>
    </row>
    <row r="65" customFormat="false" ht="15" hidden="false" customHeight="false" outlineLevel="0" collapsed="false">
      <c r="A65" s="7" t="s">
        <v>63</v>
      </c>
      <c r="B65" s="7" t="s">
        <v>99</v>
      </c>
      <c r="C65" s="7" t="s">
        <v>87</v>
      </c>
      <c r="D65" s="7" t="s">
        <v>88</v>
      </c>
      <c r="E65" s="7" t="s">
        <v>204</v>
      </c>
      <c r="F65" s="7" t="s">
        <v>222</v>
      </c>
      <c r="G65" s="7" t="s">
        <v>223</v>
      </c>
    </row>
    <row r="66" customFormat="false" ht="15" hidden="false" customHeight="false" outlineLevel="0" collapsed="false">
      <c r="A66" s="7" t="s">
        <v>64</v>
      </c>
      <c r="B66" s="7" t="s">
        <v>99</v>
      </c>
      <c r="C66" s="7" t="s">
        <v>87</v>
      </c>
      <c r="D66" s="7" t="s">
        <v>88</v>
      </c>
      <c r="E66" s="7" t="s">
        <v>204</v>
      </c>
      <c r="F66" s="7" t="s">
        <v>224</v>
      </c>
      <c r="G66" s="7" t="s">
        <v>225</v>
      </c>
    </row>
    <row r="67" customFormat="false" ht="15" hidden="false" customHeight="false" outlineLevel="0" collapsed="false">
      <c r="A67" s="7" t="s">
        <v>65</v>
      </c>
      <c r="B67" s="7" t="s">
        <v>99</v>
      </c>
      <c r="C67" s="7" t="s">
        <v>87</v>
      </c>
      <c r="D67" s="7" t="s">
        <v>88</v>
      </c>
      <c r="E67" s="7" t="s">
        <v>204</v>
      </c>
      <c r="F67" s="7" t="s">
        <v>226</v>
      </c>
      <c r="G67" s="7" t="s">
        <v>227</v>
      </c>
    </row>
    <row r="68" customFormat="false" ht="15" hidden="false" customHeight="false" outlineLevel="0" collapsed="false">
      <c r="A68" s="7" t="s">
        <v>66</v>
      </c>
      <c r="B68" s="7" t="s">
        <v>99</v>
      </c>
      <c r="C68" s="7" t="s">
        <v>87</v>
      </c>
      <c r="D68" s="7" t="s">
        <v>167</v>
      </c>
      <c r="E68" s="7" t="s">
        <v>228</v>
      </c>
      <c r="F68" s="7" t="s">
        <v>229</v>
      </c>
      <c r="G68" s="7" t="s">
        <v>230</v>
      </c>
    </row>
    <row r="69" customFormat="false" ht="15" hidden="false" customHeight="false" outlineLevel="0" collapsed="false">
      <c r="A69" s="7" t="s">
        <v>67</v>
      </c>
      <c r="B69" s="7" t="s">
        <v>99</v>
      </c>
      <c r="C69" s="7" t="s">
        <v>87</v>
      </c>
      <c r="D69" s="7" t="s">
        <v>167</v>
      </c>
      <c r="E69" s="7" t="s">
        <v>228</v>
      </c>
      <c r="F69" s="7" t="s">
        <v>231</v>
      </c>
      <c r="G69" s="7" t="s">
        <v>232</v>
      </c>
    </row>
    <row r="70" customFormat="false" ht="15" hidden="false" customHeight="false" outlineLevel="0" collapsed="false">
      <c r="A70" s="7" t="s">
        <v>68</v>
      </c>
      <c r="B70" s="7" t="s">
        <v>99</v>
      </c>
      <c r="C70" s="7" t="s">
        <v>87</v>
      </c>
      <c r="D70" s="7" t="s">
        <v>167</v>
      </c>
      <c r="E70" s="7" t="s">
        <v>228</v>
      </c>
      <c r="F70" s="7" t="s">
        <v>233</v>
      </c>
      <c r="G70" s="7" t="s">
        <v>234</v>
      </c>
    </row>
    <row r="71" customFormat="false" ht="15" hidden="false" customHeight="false" outlineLevel="0" collapsed="false">
      <c r="A71" s="7" t="s">
        <v>69</v>
      </c>
      <c r="B71" s="7" t="s">
        <v>99</v>
      </c>
      <c r="C71" s="7" t="s">
        <v>87</v>
      </c>
      <c r="D71" s="7" t="s">
        <v>88</v>
      </c>
      <c r="E71" s="7" t="s">
        <v>228</v>
      </c>
      <c r="F71" s="7" t="s">
        <v>235</v>
      </c>
      <c r="G71" s="7"/>
    </row>
    <row r="72" customFormat="false" ht="15" hidden="false" customHeight="false" outlineLevel="0" collapsed="false">
      <c r="A72" s="7" t="s">
        <v>70</v>
      </c>
      <c r="B72" s="7" t="s">
        <v>99</v>
      </c>
      <c r="C72" s="7" t="s">
        <v>87</v>
      </c>
      <c r="D72" s="9" t="s">
        <v>98</v>
      </c>
      <c r="E72" s="7" t="s">
        <v>236</v>
      </c>
      <c r="F72" s="7" t="s">
        <v>237</v>
      </c>
      <c r="G72" s="7" t="s">
        <v>238</v>
      </c>
    </row>
    <row r="73" customFormat="false" ht="15" hidden="false" customHeight="false" outlineLevel="0" collapsed="false">
      <c r="A73" s="7" t="s">
        <v>71</v>
      </c>
      <c r="B73" s="7" t="s">
        <v>99</v>
      </c>
      <c r="C73" s="7" t="s">
        <v>87</v>
      </c>
      <c r="D73" s="9" t="s">
        <v>98</v>
      </c>
      <c r="E73" s="7" t="s">
        <v>236</v>
      </c>
      <c r="F73" s="7" t="s">
        <v>239</v>
      </c>
      <c r="G73" s="7" t="s">
        <v>86</v>
      </c>
    </row>
    <row r="74" customFormat="false" ht="15" hidden="false" customHeight="false" outlineLevel="0" collapsed="false">
      <c r="A74" s="7" t="s">
        <v>72</v>
      </c>
      <c r="B74" s="7" t="s">
        <v>99</v>
      </c>
      <c r="C74" s="7" t="s">
        <v>92</v>
      </c>
      <c r="D74" s="9" t="s">
        <v>98</v>
      </c>
      <c r="E74" s="7" t="s">
        <v>236</v>
      </c>
      <c r="F74" s="7" t="s">
        <v>240</v>
      </c>
      <c r="G74" s="7" t="s">
        <v>241</v>
      </c>
    </row>
    <row r="75" customFormat="false" ht="15" hidden="false" customHeight="false" outlineLevel="0" collapsed="false">
      <c r="A75" s="7" t="s">
        <v>73</v>
      </c>
      <c r="B75" s="7" t="s">
        <v>99</v>
      </c>
      <c r="C75" s="7" t="s">
        <v>87</v>
      </c>
      <c r="D75" s="11" t="s">
        <v>242</v>
      </c>
      <c r="E75" s="7" t="s">
        <v>243</v>
      </c>
      <c r="F75" s="7" t="s">
        <v>244</v>
      </c>
      <c r="G75" s="7" t="s">
        <v>245</v>
      </c>
    </row>
    <row r="76" customFormat="false" ht="15" hidden="false" customHeight="false" outlineLevel="0" collapsed="false">
      <c r="A76" s="7" t="s">
        <v>74</v>
      </c>
      <c r="B76" s="7" t="s">
        <v>99</v>
      </c>
      <c r="C76" s="7" t="s">
        <v>87</v>
      </c>
      <c r="D76" s="11" t="s">
        <v>242</v>
      </c>
      <c r="E76" s="7" t="s">
        <v>243</v>
      </c>
      <c r="F76" s="7" t="s">
        <v>246</v>
      </c>
      <c r="G76" s="7" t="s">
        <v>247</v>
      </c>
    </row>
    <row r="77" customFormat="false" ht="15" hidden="false" customHeight="false" outlineLevel="0" collapsed="false">
      <c r="A77" s="7" t="s">
        <v>75</v>
      </c>
      <c r="B77" s="7" t="s">
        <v>99</v>
      </c>
      <c r="C77" s="7" t="s">
        <v>87</v>
      </c>
      <c r="D77" s="11" t="s">
        <v>242</v>
      </c>
      <c r="E77" s="7" t="s">
        <v>243</v>
      </c>
      <c r="F77" s="7" t="s">
        <v>248</v>
      </c>
      <c r="G77" s="7" t="s">
        <v>249</v>
      </c>
    </row>
    <row r="78" customFormat="false" ht="15" hidden="false" customHeight="false" outlineLevel="0" collapsed="false">
      <c r="A78" s="7" t="s">
        <v>76</v>
      </c>
      <c r="B78" s="7" t="s">
        <v>99</v>
      </c>
      <c r="C78" s="7" t="s">
        <v>135</v>
      </c>
      <c r="D78" s="11" t="s">
        <v>242</v>
      </c>
      <c r="E78" s="7" t="s">
        <v>243</v>
      </c>
      <c r="F78" s="7" t="s">
        <v>250</v>
      </c>
      <c r="G78" s="7" t="s">
        <v>251</v>
      </c>
    </row>
    <row r="79" customFormat="false" ht="15" hidden="false" customHeight="false" outlineLevel="0" collapsed="false">
      <c r="A79" s="7" t="s">
        <v>77</v>
      </c>
      <c r="B79" s="7" t="s">
        <v>99</v>
      </c>
      <c r="C79" s="7" t="s">
        <v>87</v>
      </c>
      <c r="D79" s="11" t="s">
        <v>242</v>
      </c>
      <c r="E79" s="7" t="s">
        <v>243</v>
      </c>
      <c r="F79" s="7" t="s">
        <v>252</v>
      </c>
      <c r="G79" s="7" t="s">
        <v>253</v>
      </c>
    </row>
    <row r="80" customFormat="false" ht="15" hidden="false" customHeight="false" outlineLevel="0" collapsed="false">
      <c r="A80" s="7" t="s">
        <v>78</v>
      </c>
      <c r="B80" s="7" t="s">
        <v>99</v>
      </c>
      <c r="C80" s="7" t="s">
        <v>87</v>
      </c>
      <c r="D80" s="11" t="s">
        <v>242</v>
      </c>
      <c r="E80" s="7" t="s">
        <v>243</v>
      </c>
      <c r="F80" s="7" t="s">
        <v>254</v>
      </c>
      <c r="G80" s="7" t="s">
        <v>255</v>
      </c>
    </row>
    <row r="81" customFormat="false" ht="15" hidden="false" customHeight="false" outlineLevel="0" collapsed="false">
      <c r="A81" s="7" t="s">
        <v>79</v>
      </c>
      <c r="B81" s="7" t="s">
        <v>99</v>
      </c>
      <c r="C81" s="7" t="s">
        <v>87</v>
      </c>
      <c r="D81" s="7" t="s">
        <v>88</v>
      </c>
      <c r="E81" s="7" t="s">
        <v>79</v>
      </c>
      <c r="F81" s="7" t="s">
        <v>256</v>
      </c>
      <c r="G81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5"/>
  </cols>
  <sheetData>
    <row r="1" customFormat="false" ht="19.7" hidden="false" customHeight="false" outlineLevel="0" collapsed="false">
      <c r="A1" s="12" t="s">
        <v>257</v>
      </c>
      <c r="B1" s="12"/>
      <c r="C1" s="12"/>
    </row>
    <row r="4" customFormat="false" ht="15" hidden="false" customHeight="false" outlineLevel="0" collapsed="false">
      <c r="A4" s="0" t="s">
        <v>258</v>
      </c>
    </row>
    <row r="5" customFormat="false" ht="15" hidden="false" customHeight="false" outlineLevel="0" collapsed="false">
      <c r="A5" s="13" t="s">
        <v>259</v>
      </c>
      <c r="B5" s="14" t="s">
        <v>260</v>
      </c>
    </row>
    <row r="6" customFormat="false" ht="15" hidden="false" customHeight="false" outlineLevel="0" collapsed="false">
      <c r="A6" s="15" t="s">
        <v>261</v>
      </c>
      <c r="B6" s="14" t="s">
        <v>262</v>
      </c>
    </row>
    <row r="7" customFormat="false" ht="15" hidden="false" customHeight="false" outlineLevel="0" collapsed="false">
      <c r="A7" s="16" t="s">
        <v>263</v>
      </c>
      <c r="B7" s="14" t="s">
        <v>264</v>
      </c>
    </row>
    <row r="8" customFormat="false" ht="15" hidden="false" customHeight="false" outlineLevel="0" collapsed="false">
      <c r="A8" s="17" t="s">
        <v>243</v>
      </c>
      <c r="B8" s="14" t="s">
        <v>265</v>
      </c>
    </row>
    <row r="9" customFormat="false" ht="15" hidden="false" customHeight="false" outlineLevel="0" collapsed="false">
      <c r="A9" s="18" t="s">
        <v>266</v>
      </c>
      <c r="B9" s="14" t="s">
        <v>267</v>
      </c>
    </row>
    <row r="12" customFormat="false" ht="15" hidden="false" customHeight="false" outlineLevel="0" collapsed="false">
      <c r="A12" s="19" t="s">
        <v>268</v>
      </c>
    </row>
    <row r="13" customFormat="false" ht="15" hidden="false" customHeight="false" outlineLevel="0" collapsed="false">
      <c r="A13" s="0" t="s">
        <v>269</v>
      </c>
    </row>
    <row r="15" customFormat="false" ht="15" hidden="false" customHeight="false" outlineLevel="0" collapsed="false">
      <c r="A15" s="19" t="s">
        <v>270</v>
      </c>
    </row>
    <row r="16" customFormat="false" ht="15" hidden="false" customHeight="false" outlineLevel="0" collapsed="false">
      <c r="A16" s="0" t="s">
        <v>271</v>
      </c>
    </row>
    <row r="18" customFormat="false" ht="15" hidden="false" customHeight="false" outlineLevel="0" collapsed="false">
      <c r="A18" s="19" t="s">
        <v>272</v>
      </c>
    </row>
    <row r="19" customFormat="false" ht="15" hidden="false" customHeight="false" outlineLevel="0" collapsed="false">
      <c r="A19" s="0" t="s">
        <v>273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55"/>
  </cols>
  <sheetData>
    <row r="1" customFormat="false" ht="15" hidden="false" customHeight="false" outlineLevel="0" collapsed="false">
      <c r="A1" s="6" t="s">
        <v>274</v>
      </c>
      <c r="B1" s="6" t="s">
        <v>275</v>
      </c>
      <c r="C1" s="6" t="s">
        <v>276</v>
      </c>
      <c r="D1" s="6" t="s">
        <v>277</v>
      </c>
      <c r="E1" s="6" t="s">
        <v>278</v>
      </c>
      <c r="F1" s="6" t="s">
        <v>279</v>
      </c>
      <c r="G1" s="6" t="s">
        <v>280</v>
      </c>
      <c r="H1" s="6" t="s">
        <v>281</v>
      </c>
    </row>
    <row r="2" customFormat="false" ht="15" hidden="false" customHeight="false" outlineLevel="0" collapsed="false">
      <c r="A2" s="7" t="s">
        <v>282</v>
      </c>
      <c r="B2" s="7" t="s">
        <v>283</v>
      </c>
      <c r="C2" s="7" t="s">
        <v>284</v>
      </c>
      <c r="D2" s="7" t="s">
        <v>285</v>
      </c>
      <c r="E2" s="7" t="s">
        <v>286</v>
      </c>
      <c r="F2" s="7" t="s">
        <v>287</v>
      </c>
      <c r="G2" s="7" t="s">
        <v>288</v>
      </c>
      <c r="H2" s="7" t="s">
        <v>69</v>
      </c>
    </row>
    <row r="3" customFormat="false" ht="15" hidden="false" customHeight="false" outlineLevel="0" collapsed="false">
      <c r="A3" s="7" t="s">
        <v>289</v>
      </c>
      <c r="B3" s="7" t="s">
        <v>290</v>
      </c>
      <c r="C3" s="7" t="s">
        <v>291</v>
      </c>
      <c r="D3" s="7" t="s">
        <v>285</v>
      </c>
      <c r="E3" s="7" t="s">
        <v>286</v>
      </c>
      <c r="F3" s="7" t="s">
        <v>292</v>
      </c>
      <c r="G3" s="7" t="s">
        <v>293</v>
      </c>
      <c r="H3" s="7" t="s">
        <v>285</v>
      </c>
    </row>
    <row r="4" customFormat="false" ht="15" hidden="false" customHeight="false" outlineLevel="0" collapsed="false">
      <c r="A4" s="7" t="s">
        <v>294</v>
      </c>
      <c r="B4" s="7" t="s">
        <v>295</v>
      </c>
      <c r="C4" s="7" t="s">
        <v>296</v>
      </c>
      <c r="D4" s="7" t="s">
        <v>285</v>
      </c>
      <c r="E4" s="7" t="s">
        <v>286</v>
      </c>
      <c r="F4" s="7" t="s">
        <v>292</v>
      </c>
      <c r="G4" s="7" t="s">
        <v>297</v>
      </c>
      <c r="H4" s="7" t="s">
        <v>298</v>
      </c>
    </row>
    <row r="5" customFormat="false" ht="15" hidden="false" customHeight="false" outlineLevel="0" collapsed="false">
      <c r="A5" s="7" t="s">
        <v>299</v>
      </c>
      <c r="B5" s="7" t="s">
        <v>300</v>
      </c>
      <c r="C5" s="7" t="s">
        <v>296</v>
      </c>
      <c r="D5" s="7" t="s">
        <v>285</v>
      </c>
      <c r="E5" s="7" t="s">
        <v>286</v>
      </c>
      <c r="F5" s="7" t="s">
        <v>292</v>
      </c>
      <c r="G5" s="7" t="s">
        <v>301</v>
      </c>
      <c r="H5" s="7" t="s">
        <v>28</v>
      </c>
    </row>
    <row r="6" customFormat="false" ht="15" hidden="false" customHeight="false" outlineLevel="0" collapsed="false">
      <c r="A6" s="7" t="s">
        <v>302</v>
      </c>
      <c r="B6" s="7" t="s">
        <v>303</v>
      </c>
      <c r="C6" s="7" t="s">
        <v>304</v>
      </c>
      <c r="D6" s="7" t="s">
        <v>285</v>
      </c>
      <c r="E6" s="7" t="s">
        <v>286</v>
      </c>
      <c r="F6" s="7" t="s">
        <v>305</v>
      </c>
      <c r="G6" s="7" t="s">
        <v>288</v>
      </c>
      <c r="H6" s="7" t="s">
        <v>285</v>
      </c>
    </row>
    <row r="7" customFormat="false" ht="15" hidden="false" customHeight="false" outlineLevel="0" collapsed="false">
      <c r="A7" s="9" t="s">
        <v>98</v>
      </c>
      <c r="B7" s="9" t="s">
        <v>306</v>
      </c>
      <c r="C7" s="9" t="s">
        <v>307</v>
      </c>
      <c r="D7" s="9" t="s">
        <v>308</v>
      </c>
      <c r="E7" s="9" t="s">
        <v>286</v>
      </c>
      <c r="F7" s="9" t="s">
        <v>309</v>
      </c>
      <c r="G7" s="9" t="s">
        <v>310</v>
      </c>
      <c r="H7" s="9" t="s">
        <v>311</v>
      </c>
    </row>
    <row r="8" customFormat="false" ht="15" hidden="false" customHeight="false" outlineLevel="0" collapsed="false">
      <c r="A8" s="7" t="s">
        <v>115</v>
      </c>
      <c r="B8" s="7" t="s">
        <v>312</v>
      </c>
      <c r="C8" s="7" t="s">
        <v>307</v>
      </c>
      <c r="D8" s="7" t="s">
        <v>285</v>
      </c>
      <c r="E8" s="7" t="s">
        <v>286</v>
      </c>
      <c r="F8" s="7" t="s">
        <v>313</v>
      </c>
      <c r="G8" s="7" t="s">
        <v>314</v>
      </c>
      <c r="H8" s="7" t="s">
        <v>11</v>
      </c>
    </row>
    <row r="9" customFormat="false" ht="15" hidden="false" customHeight="false" outlineLevel="0" collapsed="false">
      <c r="A9" s="7" t="s">
        <v>315</v>
      </c>
      <c r="B9" s="7" t="s">
        <v>316</v>
      </c>
      <c r="C9" s="7" t="s">
        <v>296</v>
      </c>
      <c r="D9" s="7" t="s">
        <v>285</v>
      </c>
      <c r="E9" s="7" t="s">
        <v>286</v>
      </c>
      <c r="F9" s="7" t="s">
        <v>317</v>
      </c>
      <c r="G9" s="7" t="s">
        <v>297</v>
      </c>
      <c r="H9" s="7" t="s">
        <v>285</v>
      </c>
    </row>
    <row r="10" customFormat="false" ht="15" hidden="false" customHeight="false" outlineLevel="0" collapsed="false">
      <c r="A10" s="10" t="s">
        <v>154</v>
      </c>
      <c r="B10" s="10" t="s">
        <v>318</v>
      </c>
      <c r="C10" s="10" t="s">
        <v>319</v>
      </c>
      <c r="D10" s="10" t="s">
        <v>285</v>
      </c>
      <c r="E10" s="10" t="s">
        <v>286</v>
      </c>
      <c r="F10" s="10" t="s">
        <v>102</v>
      </c>
      <c r="G10" s="10" t="s">
        <v>320</v>
      </c>
      <c r="H10" s="10" t="s">
        <v>321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</cols>
  <sheetData>
    <row r="1" customFormat="false" ht="19.7" hidden="false" customHeight="false" outlineLevel="0" collapsed="false">
      <c r="A1" s="12" t="s">
        <v>322</v>
      </c>
      <c r="B1" s="12"/>
      <c r="C1" s="12"/>
    </row>
    <row r="3" customFormat="false" ht="15" hidden="false" customHeight="false" outlineLevel="0" collapsed="false">
      <c r="A3" s="19" t="s">
        <v>323</v>
      </c>
      <c r="B3" s="14" t="n">
        <f aca="false">COUNTA(Shipments!A:A)-1</f>
        <v>0</v>
      </c>
    </row>
    <row r="4" customFormat="false" ht="15" hidden="false" customHeight="false" outlineLevel="0" collapsed="false">
      <c r="A4" s="19" t="s">
        <v>324</v>
      </c>
      <c r="B4" s="14" t="n">
        <f aca="false">COUNTIF(Shipments!C:C,"Air")</f>
        <v>0</v>
      </c>
    </row>
    <row r="5" customFormat="false" ht="15" hidden="false" customHeight="false" outlineLevel="0" collapsed="false">
      <c r="A5" s="19" t="s">
        <v>325</v>
      </c>
      <c r="B5" s="14" t="n">
        <f aca="false">COUNTIF(Shipments!C:C,"Sea")</f>
        <v>0</v>
      </c>
    </row>
    <row r="6" customFormat="false" ht="15" hidden="false" customHeight="false" outlineLevel="0" collapsed="false">
      <c r="A6" s="19"/>
    </row>
    <row r="7" customFormat="false" ht="15" hidden="false" customHeight="false" outlineLevel="0" collapsed="false">
      <c r="A7" s="19" t="s">
        <v>326</v>
      </c>
    </row>
    <row r="8" customFormat="false" ht="15" hidden="false" customHeight="false" outlineLevel="0" collapsed="false">
      <c r="A8" s="20" t="s">
        <v>327</v>
      </c>
      <c r="B8" s="14" t="n">
        <f aca="false">COUNTIF(Shipments!D:D,"Japan")</f>
        <v>0</v>
      </c>
    </row>
    <row r="9" customFormat="false" ht="15" hidden="false" customHeight="false" outlineLevel="0" collapsed="false">
      <c r="A9" s="20" t="s">
        <v>328</v>
      </c>
      <c r="B9" s="14" t="n">
        <f aca="false">COUNTIF(Shipments!D:D,"Colombia")</f>
        <v>0</v>
      </c>
    </row>
    <row r="10" customFormat="false" ht="15" hidden="false" customHeight="false" outlineLevel="0" collapsed="false">
      <c r="A10" s="20" t="s">
        <v>329</v>
      </c>
      <c r="B10" s="14" t="n">
        <f aca="false">COUNTIF(Shipments!D:D,"Taiwan")</f>
        <v>0</v>
      </c>
    </row>
    <row r="11" customFormat="false" ht="15" hidden="false" customHeight="false" outlineLevel="0" collapsed="false">
      <c r="A11" s="20" t="s">
        <v>330</v>
      </c>
      <c r="B11" s="14" t="n">
        <f aca="false">COUNTIF(Shipments!D:D,"Honduras")</f>
        <v>0</v>
      </c>
    </row>
    <row r="12" customFormat="false" ht="15" hidden="false" customHeight="false" outlineLevel="0" collapsed="false">
      <c r="A12" s="20" t="s">
        <v>331</v>
      </c>
      <c r="B12" s="14" t="n">
        <f aca="false">COUNTIF(Shipments!D:D,"&lt;&gt;"&amp;"")-COUNTIF(Shipments!D:D,"Japan")-COUNTIF(Shipments!D:D,"Colombia")-COUNTIF(Shipments!D:D,"Taiwan")-COUNTIF(Shipments!D:D,"Honduras")</f>
        <v>1</v>
      </c>
    </row>
    <row r="13" customFormat="false" ht="15" hidden="false" customHeight="false" outlineLevel="0" collapsed="false">
      <c r="A13" s="19"/>
    </row>
    <row r="14" customFormat="false" ht="15" hidden="false" customHeight="false" outlineLevel="0" collapsed="false">
      <c r="A14" s="19" t="s">
        <v>332</v>
      </c>
    </row>
    <row r="15" customFormat="false" ht="15" hidden="false" customHeight="false" outlineLevel="0" collapsed="false">
      <c r="A15" s="20" t="s">
        <v>333</v>
      </c>
      <c r="B15" s="14" t="n">
        <f aca="false">SUM(Shipments!O:O)</f>
        <v>0</v>
      </c>
    </row>
    <row r="16" customFormat="false" ht="15" hidden="false" customHeight="false" outlineLevel="0" collapsed="false">
      <c r="A16" s="20" t="s">
        <v>334</v>
      </c>
      <c r="B16" s="14" t="n">
        <f aca="false">SUM(Shipments!P:P)</f>
        <v>0</v>
      </c>
    </row>
    <row r="17" customFormat="false" ht="15" hidden="false" customHeight="false" outlineLevel="0" collapsed="false">
      <c r="A17" s="20" t="s">
        <v>335</v>
      </c>
      <c r="B17" s="14" t="n">
        <f aca="false">SUM(Shipments!V:V)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2025-11-26T05:54:12Z</dcterms:created>
  <dc:creator>openpyxl</dc:creator>
  <dc:description/>
  <dc:language>en-US</dc:language>
  <cp:lastModifiedBy/>
  <dcterms:modified xsi:type="dcterms:W3CDTF">2025-11-26T05:54:12Z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